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ztorys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zł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FFFFFF"/>
      <sz val="10"/>
    </font>
    <font>
      <i val="1"/>
      <color rgb="00555555"/>
      <sz val="9"/>
    </font>
    <font>
      <b val="1"/>
      <color rgb="00FFFFFF"/>
      <sz val="11"/>
    </font>
    <font>
      <b val="1"/>
      <color rgb="001B5E20"/>
      <sz val="11"/>
    </font>
    <font>
      <b val="1"/>
      <sz val="10"/>
    </font>
    <font>
      <b val="1"/>
      <sz val="9"/>
    </font>
    <font>
      <b val="1"/>
      <color rgb="001B5E20"/>
      <sz val="9"/>
    </font>
    <font>
      <color rgb="001565C0"/>
      <sz val="10"/>
      <u val="single"/>
    </font>
    <font>
      <sz val="9"/>
    </font>
    <font>
      <b val="1"/>
      <color rgb="001565C0"/>
      <sz val="9"/>
    </font>
    <font>
      <color rgb="00999999"/>
      <sz val="10"/>
    </font>
    <font>
      <b val="1"/>
      <color rgb="00B26A00"/>
      <sz val="9"/>
    </font>
    <font>
      <b val="1"/>
      <color rgb="008D6E63"/>
      <sz val="9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1F8E9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right" vertical="center"/>
    </xf>
    <xf numFmtId="164" fontId="16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tland.com.pl/moduly-i-zestawy-raspberry-pi-5/25860-raspberry-pi-5-16gb-5056561803333.html" TargetMode="External" Id="rId1" /><Relationship Type="http://schemas.openxmlformats.org/officeDocument/2006/relationships/hyperlink" Target="https://botland.com.pl/wyswietlacze-raspberry-pi/6803-ekran-dotykowy-pojemnosciowy-lcd-ips-101-b-1280x800px-hdmi-usb-dla-raspberry-pi-obudowa-waveshare-11769-5904422375294.html" TargetMode="External" Id="rId2" /><Relationship Type="http://schemas.openxmlformats.org/officeDocument/2006/relationships/hyperlink" Target="https://botland.com.pl/karty-pamieci-i-dyski-do-raspberry-pi-5/25483-raspberry-pi-dysk-ssd-nvme-256gb-5056561805009.html" TargetMode="External" Id="rId3" /><Relationship Type="http://schemas.openxmlformats.org/officeDocument/2006/relationships/hyperlink" Target="https://www.morele.net/nvme-base-i-pl-timo-plok-t-skirta-raspberry-pi-5-pimoroni-pim699-14792874/" TargetMode="External" Id="rId4" /><Relationship Type="http://schemas.openxmlformats.org/officeDocument/2006/relationships/hyperlink" Target="https://botland.com.pl/elementy-montazowe-raspberry-pi-5/23925-raspberry-pi-active-cooler-aktywne-chlodzenie-radiator-wentylator-do-raspberry-pi-5-5056561803357.html" TargetMode="External" Id="rId5" /><Relationship Type="http://schemas.openxmlformats.org/officeDocument/2006/relationships/hyperlink" Target="https://botland.com.pl/zasilacze-do-raspberry-pi-5/23906-raspberry-pi-27w-usb-c-power-supply-oficjalny-zasilacz-usb-c-51v-5a-do-raspberry-pi-5-bialy-5056561803401.html" TargetMode="External" Id="rId6" /><Relationship Type="http://schemas.openxmlformats.org/officeDocument/2006/relationships/hyperlink" Target="https://botland.com.pl/elementy-montazowe-raspberry-pi-5/23926-bateria-rtc-do-raspberry-pi-5-5056561803739.html" TargetMode="External" Id="rId7" /><Relationship Type="http://schemas.openxmlformats.org/officeDocument/2006/relationships/hyperlink" Target="https://botland.com.pl/enkodery/14273-czujnik-obrotu-impulsator-enkoder-z-przyciskiem-iduino-se055-5903351242042.html" TargetMode="External" Id="rId8" /><Relationship Type="http://schemas.openxmlformats.org/officeDocument/2006/relationships/hyperlink" Target="https://botland.com.pl/raspberry-pi-karty-dzwiekowe-i-hifiberry/11408-respeaker-v20-dla-raspberry-pi-modul-z-2-mikrofonami-seeedstudio-107100001-5904422317515.html" TargetMode="External" Id="rId9" /><Relationship Type="http://schemas.openxmlformats.org/officeDocument/2006/relationships/hyperlink" Target="https://botland.com.pl/przelaczniki-przyciskowe-i-elektryczne/9796-przelacznik-on-off-monostabilny-pbw-16bp-2a-250v-plaski-5904422338428.html" TargetMode="External" Id="rId10" /><Relationship Type="http://schemas.openxmlformats.org/officeDocument/2006/relationships/hyperlink" Target="https://botland.com.pl/kamery-do-raspberry-pi/22478-raspberry-pi-camera-hd-v3-12mpx-oryginalna-kamera-do-raspberry-pi-5056561803241.html" TargetMode="External" Id="rId11" /><Relationship Type="http://schemas.openxmlformats.org/officeDocument/2006/relationships/hyperlink" Target="https://botland.com.pl/glosniki-analogowe/19458-glosnik-1w-8ohm-30x20x5mm-adafruit-4227-5904422354848.html" TargetMode="External" Id="rId12" /><Relationship Type="http://schemas.openxmlformats.org/officeDocument/2006/relationships/hyperlink" Target="https://botland.com.pl/karty-pamieci-raspberry-pi/14696-karta-pamieci-justpi-microsd-32gb-100mbs-klasa-10-system-raspberry-pi-os-5903351242493.htm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.5" customWidth="1" min="3" max="3"/>
    <col width="12.5" customWidth="1" min="4" max="4"/>
    <col width="15" customWidth="1" min="5" max="5"/>
    <col width="12" customWidth="1" min="6" max="6"/>
    <col width="52" customWidth="1" min="7" max="7"/>
  </cols>
  <sheetData>
    <row r="1" ht="34" customHeight="1">
      <c r="A1" s="1" t="inlineStr">
        <is>
          <t>KOSZTORYS  ·  ESPERO-BOT v2</t>
        </is>
      </c>
    </row>
    <row r="2" ht="20" customHeight="1">
      <c r="A2" s="2" t="inlineStr">
        <is>
          <t>WRO 2026 Future Innovators  ·  robot standalone (bez laptopa)  ·  drukowany 3D  ·  działa offline</t>
        </is>
      </c>
    </row>
    <row r="3" ht="26" customHeight="1">
      <c r="A3" s="3" t="inlineStr">
        <is>
          <t>Legenda statusu:   „Do kupienia" = realny koszt zakupu    |    „Użyczę / mam" = mamy lub użyczamy (poza kosztem)    |    „Opcja" = dodatek    |    „Do sprawdzenia" = potwierdzić, czy potrzebne</t>
        </is>
      </c>
    </row>
    <row r="4" ht="22" customHeight="1">
      <c r="A4" s="4" t="inlineStr">
        <is>
          <t>Lp.</t>
        </is>
      </c>
      <c r="B4" s="4" t="inlineStr">
        <is>
          <t>Komponent</t>
        </is>
      </c>
      <c r="C4" s="4" t="inlineStr">
        <is>
          <t>Brutto</t>
        </is>
      </c>
      <c r="D4" s="4" t="inlineStr">
        <is>
          <t>Netto</t>
        </is>
      </c>
      <c r="E4" s="4" t="inlineStr">
        <is>
          <t>Status</t>
        </is>
      </c>
      <c r="F4" s="4" t="inlineStr">
        <is>
          <t>Sklep</t>
        </is>
      </c>
      <c r="G4" s="4" t="inlineStr">
        <is>
          <t>Po co / uwagi</t>
        </is>
      </c>
    </row>
    <row r="5" ht="20" customHeight="1">
      <c r="A5" s="5" t="inlineStr">
        <is>
          <t>● ELEKTRONIKA</t>
        </is>
      </c>
      <c r="B5" s="29" t="n"/>
      <c r="C5" s="29" t="n"/>
      <c r="D5" s="29" t="n"/>
      <c r="E5" s="29" t="n"/>
      <c r="F5" s="29" t="n"/>
      <c r="G5" s="30" t="n"/>
    </row>
    <row r="6">
      <c r="A6" s="7" t="n">
        <v>1</v>
      </c>
      <c r="B6" s="8" t="inlineStr">
        <is>
          <t>Raspberry Pi 5 16GB</t>
        </is>
      </c>
      <c r="C6" s="9" t="n">
        <v>1449</v>
      </c>
      <c r="D6" s="9" t="n">
        <v>1178.05</v>
      </c>
      <c r="E6" s="10" t="inlineStr">
        <is>
          <t>Do kupienia</t>
        </is>
      </c>
      <c r="F6" s="11" t="inlineStr">
        <is>
          <t>Botland</t>
        </is>
      </c>
      <c r="G6" s="12" t="inlineStr">
        <is>
          <t>Mózg robota — działa standalone bez laptopa; 16 GB RAM pod modele AI (STT+LLM lokalnie)</t>
        </is>
      </c>
    </row>
    <row r="7">
      <c r="A7" s="13" t="n">
        <v>2</v>
      </c>
      <c r="B7" s="14" t="inlineStr">
        <is>
          <t>Ekran dotykowy 10,1'' 1280x800 HDMI (B) — Waveshare</t>
        </is>
      </c>
      <c r="C7" s="15" t="n">
        <v>559</v>
      </c>
      <c r="D7" s="15" t="n">
        <v>454.47</v>
      </c>
      <c r="E7" s="16" t="inlineStr">
        <is>
          <t>Do kupienia</t>
        </is>
      </c>
      <c r="F7" s="17" t="inlineStr">
        <is>
          <t>Botland</t>
        </is>
      </c>
      <c r="G7" s="18" t="inlineStr">
        <is>
          <t>Większy ekran pod wideo/migowy. Jedyny 10,1 1280x800 na Botland; obudowa = głównie tylny stelaż, panel wmontujesz w wydruk</t>
        </is>
      </c>
    </row>
    <row r="8">
      <c r="A8" s="7" t="n">
        <v>3</v>
      </c>
      <c r="B8" s="8" t="inlineStr">
        <is>
          <t>Dysk SSD NVMe 256GB</t>
        </is>
      </c>
      <c r="C8" s="9" t="n">
        <v>279.9</v>
      </c>
      <c r="D8" s="9" t="n">
        <v>227.56</v>
      </c>
      <c r="E8" s="10" t="inlineStr">
        <is>
          <t>Do kupienia</t>
        </is>
      </c>
      <c r="F8" s="11" t="inlineStr">
        <is>
          <t>Botland</t>
        </is>
      </c>
      <c r="G8" s="12" t="inlineStr">
        <is>
          <t>Szybki boot, trwalszy niż SD, miejsce na assety robota</t>
        </is>
      </c>
    </row>
    <row r="9">
      <c r="A9" s="13" t="n">
        <v>4</v>
      </c>
      <c r="B9" s="14" t="inlineStr">
        <is>
          <t>Baza NVMe Pimoroni PIM699 (montaż POD Pi)</t>
        </is>
      </c>
      <c r="C9" s="15" t="n">
        <v>69.90000000000001</v>
      </c>
      <c r="D9" s="15" t="n">
        <v>56.83</v>
      </c>
      <c r="E9" s="16" t="inlineStr">
        <is>
          <t>Do kupienia</t>
        </is>
      </c>
      <c r="F9" s="17" t="inlineStr">
        <is>
          <t>Morele</t>
        </is>
      </c>
      <c r="G9" s="18" t="inlineStr">
        <is>
          <t>Montaż dysku pod Pi zwalnia GPIO dla ReSpeakera. Botland 4-6 tyg → Morele (jutro)/Kamami od ręki</t>
        </is>
      </c>
    </row>
    <row r="10">
      <c r="A10" s="7" t="n">
        <v>5</v>
      </c>
      <c r="B10" s="8" t="inlineStr">
        <is>
          <t>Active Cooler do Pi 5</t>
        </is>
      </c>
      <c r="C10" s="9" t="n">
        <v>23.9</v>
      </c>
      <c r="D10" s="9" t="n">
        <v>19.43</v>
      </c>
      <c r="E10" s="10" t="inlineStr">
        <is>
          <t>Do kupienia</t>
        </is>
      </c>
      <c r="F10" s="11" t="inlineStr">
        <is>
          <t>Botland</t>
        </is>
      </c>
      <c r="G10" s="12" t="inlineStr">
        <is>
          <t>Aktywne chłodzenie. Przy lokalnej inferencji AI w zamkniętej obudowie KONIECZNE</t>
        </is>
      </c>
    </row>
    <row r="11">
      <c r="A11" s="13" t="n">
        <v>6</v>
      </c>
      <c r="B11" s="14" t="inlineStr">
        <is>
          <t>Zasilacz USB-C 27W (5,1V/5A)</t>
        </is>
      </c>
      <c r="C11" s="15" t="n">
        <v>55.9</v>
      </c>
      <c r="D11" s="15" t="n">
        <v>45.45</v>
      </c>
      <c r="E11" s="16" t="inlineStr">
        <is>
          <t>Do kupienia</t>
        </is>
      </c>
      <c r="F11" s="17" t="inlineStr">
        <is>
          <t>Botland</t>
        </is>
      </c>
      <c r="G11" s="18" t="inlineStr">
        <is>
          <t>Zasilanie z gniazdka. Uwaga: ekran też ciągnie prąd — patrz uwagi w czacie</t>
        </is>
      </c>
    </row>
    <row r="12">
      <c r="A12" s="7" t="n">
        <v>7</v>
      </c>
      <c r="B12" s="8" t="inlineStr">
        <is>
          <t>Bateria RTC do Pi 5 (Panasonic ML-2020)</t>
        </is>
      </c>
      <c r="C12" s="9" t="n">
        <v>23.9</v>
      </c>
      <c r="D12" s="9" t="n">
        <v>19.43</v>
      </c>
      <c r="E12" s="19" t="inlineStr">
        <is>
          <t>Użyczę / mam</t>
        </is>
      </c>
      <c r="F12" s="11" t="inlineStr">
        <is>
          <t>Botland</t>
        </is>
      </c>
      <c r="G12" s="12" t="inlineStr">
        <is>
          <t>Zegar offline dla dat SM-2. Wpina się w złącze RTC (nie zajmuje GPIO). Sprawdź czy masz</t>
        </is>
      </c>
    </row>
    <row r="13">
      <c r="A13" s="13" t="n">
        <v>8</v>
      </c>
      <c r="B13" s="14" t="inlineStr">
        <is>
          <t>Enkoder z przyciskiem — Iduino SE055</t>
        </is>
      </c>
      <c r="C13" s="15" t="n">
        <v>11.9</v>
      </c>
      <c r="D13" s="15" t="n">
        <v>9.67</v>
      </c>
      <c r="E13" s="16" t="inlineStr">
        <is>
          <t>Do kupienia</t>
        </is>
      </c>
      <c r="F13" s="17" t="inlineStr">
        <is>
          <t>Botland</t>
        </is>
      </c>
      <c r="G13" s="18" t="inlineStr">
        <is>
          <t>Enkoder z guzikiem do zmiany trybu</t>
        </is>
      </c>
    </row>
    <row r="14">
      <c r="A14" s="7" t="n">
        <v>9</v>
      </c>
      <c r="B14" s="8" t="inlineStr">
        <is>
          <t>ReSpeaker v2.0 — 2 mikrofony + wyjście audio</t>
        </is>
      </c>
      <c r="C14" s="9" t="n">
        <v>65.90000000000001</v>
      </c>
      <c r="D14" s="9" t="n">
        <v>53.58</v>
      </c>
      <c r="E14" s="10" t="inlineStr">
        <is>
          <t>Do kupienia</t>
        </is>
      </c>
      <c r="F14" s="11" t="inlineStr">
        <is>
          <t>Botland</t>
        </is>
      </c>
      <c r="G14" s="12" t="inlineStr">
        <is>
          <t>Mikrofony + wbudowany kodek robi też WYJŚCIE audio — zastępuje MAX98357A</t>
        </is>
      </c>
    </row>
    <row r="15">
      <c r="A15" s="13" t="n">
        <v>10</v>
      </c>
      <c r="B15" s="14" t="inlineStr">
        <is>
          <t>2x Przełącznik ON-OFF PBW-16BP</t>
        </is>
      </c>
      <c r="C15" s="15" t="n">
        <v>41.8</v>
      </c>
      <c r="D15" s="15" t="n">
        <v>33.98</v>
      </c>
      <c r="E15" s="16" t="inlineStr">
        <is>
          <t>Do kupienia</t>
        </is>
      </c>
      <c r="F15" s="17" t="inlineStr">
        <is>
          <t>Botland</t>
        </is>
      </c>
      <c r="G15" s="18" t="inlineStr">
        <is>
          <t>Guziki interakcji w trybach</t>
        </is>
      </c>
    </row>
    <row r="16">
      <c r="A16" s="7" t="n">
        <v>11</v>
      </c>
      <c r="B16" s="8" t="inlineStr">
        <is>
          <t>Kamera Raspberry Pi Camera v3 12MPx</t>
        </is>
      </c>
      <c r="C16" s="9" t="n">
        <v>119.9</v>
      </c>
      <c r="D16" s="9" t="n">
        <v>97.48</v>
      </c>
      <c r="E16" s="10" t="inlineStr">
        <is>
          <t>Do kupienia</t>
        </is>
      </c>
      <c r="F16" s="11" t="inlineStr">
        <is>
          <t>Botland</t>
        </is>
      </c>
      <c r="G16" s="12" t="inlineStr">
        <is>
          <t>Wykrywanie obecności + droga do języko-bota (inne języki, podstawy migowego)</t>
        </is>
      </c>
    </row>
    <row r="17">
      <c r="A17" s="13" t="n">
        <v>12</v>
      </c>
      <c r="B17" s="14" t="inlineStr">
        <is>
          <t>Głośnik 1W 8Ohm — Adafruit 4227</t>
        </is>
      </c>
      <c r="C17" s="15" t="n">
        <v>11.9</v>
      </c>
      <c r="D17" s="15" t="n">
        <v>9.67</v>
      </c>
      <c r="E17" s="16" t="inlineStr">
        <is>
          <t>Do kupienia</t>
        </is>
      </c>
      <c r="F17" s="17" t="inlineStr">
        <is>
          <t>Botland</t>
        </is>
      </c>
      <c r="G17" s="18" t="inlineStr">
        <is>
          <t>Mono z ReSpeakera, na froncie obudowy na przewodzie. JST 1,25 vs 2,0mm — przelutuj</t>
        </is>
      </c>
    </row>
    <row r="18" ht="20" customHeight="1">
      <c r="A18" s="5" t="inlineStr">
        <is>
          <t>● MONTAŻ I OKABLOWANIE</t>
        </is>
      </c>
      <c r="B18" s="29" t="n"/>
      <c r="C18" s="29" t="n"/>
      <c r="D18" s="29" t="n"/>
      <c r="E18" s="29" t="n"/>
      <c r="F18" s="29" t="n"/>
      <c r="G18" s="30" t="n"/>
    </row>
    <row r="19">
      <c r="A19" s="7" t="n">
        <v>13</v>
      </c>
      <c r="B19" s="8" t="inlineStr">
        <is>
          <t>Karta microSD justPi 32GB (z Raspberry Pi OS)</t>
        </is>
      </c>
      <c r="C19" s="9" t="n">
        <v>45</v>
      </c>
      <c r="D19" s="9" t="n">
        <v>36.59</v>
      </c>
      <c r="E19" s="19" t="inlineStr">
        <is>
          <t>Użyczę / mam</t>
        </is>
      </c>
      <c r="F19" s="11" t="inlineStr">
        <is>
          <t>Botland</t>
        </is>
      </c>
      <c r="G19" s="12" t="inlineStr">
        <is>
          <t>Do wgrania systemu na NVMe. Jak masz wolną kartę 16-32 GB — użyj swojej</t>
        </is>
      </c>
    </row>
    <row r="20">
      <c r="A20" s="13" t="n">
        <v>14</v>
      </c>
      <c r="B20" s="14" t="inlineStr">
        <is>
          <t>Kabel kamery do Pi 5 (22-pin FFC)</t>
        </is>
      </c>
      <c r="C20" s="15" t="n">
        <v>15</v>
      </c>
      <c r="D20" s="15" t="n">
        <v>12.2</v>
      </c>
      <c r="E20" s="16" t="inlineStr">
        <is>
          <t>Do kupienia</t>
        </is>
      </c>
      <c r="F20" s="20" t="inlineStr">
        <is>
          <t>—</t>
        </is>
      </c>
      <c r="G20" s="18" t="inlineStr">
        <is>
          <t>WAŻNE: kamera v3 ma kabel 15-pin, a Pi 5 ma złącze 22-pin → bez tego kamera nie wepnie się</t>
        </is>
      </c>
    </row>
    <row r="21">
      <c r="A21" s="7" t="n">
        <v>15</v>
      </c>
      <c r="B21" s="8" t="inlineStr">
        <is>
          <t>Kabel/adapter micro-HDMI -&gt; HDMI</t>
        </is>
      </c>
      <c r="C21" s="9" t="n">
        <v>15</v>
      </c>
      <c r="D21" s="9" t="n">
        <v>12.2</v>
      </c>
      <c r="E21" s="21" t="inlineStr">
        <is>
          <t>Do sprawdzenia</t>
        </is>
      </c>
      <c r="F21" s="22" t="inlineStr">
        <is>
          <t>—</t>
        </is>
      </c>
      <c r="G21" s="12" t="inlineStr">
        <is>
          <t>Pi 5 ma micro-HDMI, ekran HDMI. Sprawdź czy ekran ma w zestawie — jak nie, dokup</t>
        </is>
      </c>
    </row>
    <row r="22">
      <c r="A22" s="13" t="n">
        <v>16</v>
      </c>
      <c r="B22" s="14" t="inlineStr">
        <is>
          <t>Przewody dupont/goldpin (enkoder + guziki)</t>
        </is>
      </c>
      <c r="C22" s="15" t="n">
        <v>8</v>
      </c>
      <c r="D22" s="15" t="n">
        <v>6.5</v>
      </c>
      <c r="E22" s="16" t="inlineStr">
        <is>
          <t>Do kupienia</t>
        </is>
      </c>
      <c r="F22" s="20" t="inlineStr">
        <is>
          <t>—</t>
        </is>
      </c>
      <c r="G22" s="18" t="inlineStr">
        <is>
          <t>Połączenie enkodera i 2 guzików do GPIO</t>
        </is>
      </c>
    </row>
    <row r="23">
      <c r="A23" s="7" t="n">
        <v>17</v>
      </c>
      <c r="B23" s="8" t="inlineStr">
        <is>
          <t>Wkładki gwintowane M2.5/M3 + śruby + dystanse (zestaw)</t>
        </is>
      </c>
      <c r="C23" s="9" t="n">
        <v>25</v>
      </c>
      <c r="D23" s="9" t="n">
        <v>20.33</v>
      </c>
      <c r="E23" s="10" t="inlineStr">
        <is>
          <t>Do kupienia</t>
        </is>
      </c>
      <c r="F23" s="22" t="inlineStr">
        <is>
          <t>—</t>
        </is>
      </c>
      <c r="G23" s="12" t="inlineStr">
        <is>
          <t>Zestaw: inserty heat-set M2.5 (Pi) i M3 (reszta) + końcówka do lutownicy; śruby M2.5x6, M3x8/16, M2x6; dystanse mosiężne M2.5 pod Pi. W druku NIE wiercić (otwory w CAD); w aluminium wiercić. Pozwala rozkręcić robota (recykling)</t>
        </is>
      </c>
    </row>
    <row r="24" ht="20" customHeight="1">
      <c r="A24" s="5" t="inlineStr">
        <is>
          <t>● OBUDOWA I MATERIAŁY</t>
        </is>
      </c>
      <c r="B24" s="29" t="n"/>
      <c r="C24" s="29" t="n"/>
      <c r="D24" s="29" t="n"/>
      <c r="E24" s="29" t="n"/>
      <c r="F24" s="29" t="n"/>
      <c r="G24" s="30" t="n"/>
    </row>
    <row r="25">
      <c r="A25" s="13" t="n">
        <v>18</v>
      </c>
      <c r="B25" s="14" t="inlineStr">
        <is>
          <t>Filament PLA / PETG (~0,5-0,8 kg)</t>
        </is>
      </c>
      <c r="C25" s="15" t="n">
        <v>80</v>
      </c>
      <c r="D25" s="15" t="n">
        <v>65.04000000000001</v>
      </c>
      <c r="E25" s="23" t="inlineStr">
        <is>
          <t>Użyczę / mam</t>
        </is>
      </c>
      <c r="F25" s="20" t="inlineStr">
        <is>
          <t>—</t>
        </is>
      </c>
      <c r="G25" s="18" t="inlineStr">
        <is>
          <t>Wojciech użycza własny (ma nadmiar). PETG trwalszy i odporniejszy na ciepło niż PLA</t>
        </is>
      </c>
    </row>
    <row r="26">
      <c r="A26" s="7" t="n">
        <v>19</v>
      </c>
      <c r="B26" s="8" t="inlineStr">
        <is>
          <t>Akcenty aluminiowe ("szpan", opcja)</t>
        </is>
      </c>
      <c r="C26" s="9" t="n">
        <v>100</v>
      </c>
      <c r="D26" s="9" t="n">
        <v>81.3</v>
      </c>
      <c r="E26" s="24" t="inlineStr">
        <is>
          <t>Opcja</t>
        </is>
      </c>
      <c r="F26" s="22" t="inlineStr">
        <is>
          <t>—</t>
        </is>
      </c>
      <c r="G26" s="12" t="inlineStr">
        <is>
          <t>Estetyka premium — opcjonalne. Profile/blacha aluminiowa jako akcenty obudowy</t>
        </is>
      </c>
    </row>
    <row r="28" ht="20" customHeight="1">
      <c r="A28" s="25" t="inlineStr">
        <is>
          <t>Wartość całego robota:</t>
        </is>
      </c>
      <c r="B28" s="30" t="n"/>
      <c r="C28" s="26">
        <f>SUM(C6:C26)</f>
        <v/>
      </c>
      <c r="D28" s="26">
        <f>SUM(D6:D26)</f>
        <v/>
      </c>
      <c r="E28" s="27" t="n"/>
      <c r="F28" s="28" t="inlineStr">
        <is>
          <t>wszystko razem (z użyczonym i opcją)</t>
        </is>
      </c>
      <c r="G28" s="30" t="n"/>
    </row>
    <row r="29" ht="20" customHeight="1">
      <c r="A29" s="25" t="inlineStr">
        <is>
          <t>REALNY KOSZT (do kupienia):</t>
        </is>
      </c>
      <c r="B29" s="30" t="n"/>
      <c r="C29" s="26">
        <f>SUMIF(E6:E26,"Do kupienia",C6:C26)</f>
        <v/>
      </c>
      <c r="D29" s="26">
        <f>SUMIF(E6:E26,"Do kupienia",D6:D26)</f>
        <v/>
      </c>
      <c r="E29" s="27" t="n"/>
      <c r="F29" s="28" t="inlineStr">
        <is>
          <t>tylko pozycje „Do kupienia" — tyle faktycznie wydajecie</t>
        </is>
      </c>
      <c r="G29" s="30" t="n"/>
    </row>
    <row r="30" ht="20" customHeight="1">
      <c r="A30" s="25" t="inlineStr">
        <is>
          <t>Mamy / użyczamy (oszczędność):</t>
        </is>
      </c>
      <c r="B30" s="30" t="n"/>
      <c r="C30" s="26">
        <f>SUMIF(E6:E26,"Użyczę / mam",C6:C26)</f>
        <v/>
      </c>
      <c r="D30" s="26">
        <f>SUMIF(E6:E26,"Użyczę / mam",D6:D26)</f>
        <v/>
      </c>
      <c r="E30" s="27" t="n"/>
      <c r="F30" s="28" t="inlineStr">
        <is>
          <t>wartość, której nie trzeba kupować</t>
        </is>
      </c>
      <c r="G30" s="30" t="n"/>
    </row>
  </sheetData>
  <mergeCells count="12">
    <mergeCell ref="A30:B30"/>
    <mergeCell ref="A1:G1"/>
    <mergeCell ref="A29:B29"/>
    <mergeCell ref="A18:G18"/>
    <mergeCell ref="F29:G29"/>
    <mergeCell ref="F30:G30"/>
    <mergeCell ref="A3:G3"/>
    <mergeCell ref="A28:B28"/>
    <mergeCell ref="A24:G24"/>
    <mergeCell ref="A2:G2"/>
    <mergeCell ref="F28:G28"/>
    <mergeCell ref="A5:G5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9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2026-06-15T12:56:23Z</dcterms:created>
  <dcterms:modified xsi:type="dcterms:W3CDTF">2026-06-15T18:54:41Z</dcterms:modified>
</cp:coreProperties>
</file>